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Ki Agentur\Lead_Kampange\"/>
    </mc:Choice>
  </mc:AlternateContent>
  <xr:revisionPtr revIDLastSave="0" documentId="8_{D11E7700-126D-4C7B-B1A6-1EC6031BF99A}" xr6:coauthVersionLast="47" xr6:coauthVersionMax="47" xr10:uidLastSave="{00000000-0000-0000-0000-000000000000}"/>
  <bookViews>
    <workbookView xWindow="-110" yWindow="-110" windowWidth="38620" windowHeight="21100" activeTab="2" xr2:uid="{7DCDF3B4-CEB0-4403-9DFC-631F370A8ABA}"/>
  </bookViews>
  <sheets>
    <sheet name="Tabelle1" sheetId="1" r:id="rId1"/>
    <sheet name="Tabelle3" sheetId="3" r:id="rId2"/>
    <sheet name="Tabelle4" sheetId="4" r:id="rId3"/>
    <sheet name="Tabelle2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I2" i="1"/>
  <c r="G3" i="1"/>
  <c r="G4" i="1"/>
  <c r="G2" i="1"/>
</calcChain>
</file>

<file path=xl/sharedStrings.xml><?xml version="1.0" encoding="utf-8"?>
<sst xmlns="http://schemas.openxmlformats.org/spreadsheetml/2006/main" count="99" uniqueCount="60">
  <si>
    <t>Modell-ID</t>
  </si>
  <si>
    <t>Modellname</t>
  </si>
  <si>
    <t>Einsatzzweck</t>
  </si>
  <si>
    <t>Kanal</t>
  </si>
  <si>
    <t>Aktuelle AUC</t>
  </si>
  <si>
    <t>AUC bei Training</t>
  </si>
  <si>
    <t>Status</t>
  </si>
  <si>
    <t>M-001</t>
  </si>
  <si>
    <t>Lead-Scoring Q1</t>
  </si>
  <si>
    <t>Lead-Priorisierung</t>
  </si>
  <si>
    <t>E-Mail</t>
  </si>
  <si>
    <t>Aktiv</t>
  </si>
  <si>
    <t>M-002</t>
  </si>
  <si>
    <t>Churn-Prevention</t>
  </si>
  <si>
    <t>Kündigungsrisiko</t>
  </si>
  <si>
    <t>CRM</t>
  </si>
  <si>
    <t>M-003</t>
  </si>
  <si>
    <t>Produktempfehlung</t>
  </si>
  <si>
    <t>Cross-Selling</t>
  </si>
  <si>
    <t>Website</t>
  </si>
  <si>
    <t>-</t>
  </si>
  <si>
    <t>Trainings datum</t>
  </si>
  <si>
    <t>Nächstes Retraining</t>
  </si>
  <si>
    <t>Letztes training</t>
  </si>
  <si>
    <t>Datum</t>
  </si>
  <si>
    <t>Grund für Retraining</t>
  </si>
  <si>
    <t>Neue AUC</t>
  </si>
  <si>
    <t>AUC vorher</t>
  </si>
  <si>
    <t>Veränderung</t>
  </si>
  <si>
    <t>Verantwortlich</t>
  </si>
  <si>
    <t>Geplanter Zyklus</t>
  </si>
  <si>
    <t>M. Schmidt</t>
  </si>
  <si>
    <t>Feature-Name</t>
  </si>
  <si>
    <t>Feature-Typ</t>
  </si>
  <si>
    <t>Datenquelle</t>
  </si>
  <si>
    <t>Erlaubt für Vorhersage?</t>
  </si>
  <si>
    <t>days_since_last_open</t>
  </si>
  <si>
    <t>numerisch</t>
  </si>
  <si>
    <t>E-Mail-Tool</t>
  </si>
  <si>
    <t>Ja</t>
  </si>
  <si>
    <t>email_click_rate_7d</t>
  </si>
  <si>
    <t>total_visits_30d</t>
  </si>
  <si>
    <t>Web-Analytics</t>
  </si>
  <si>
    <t>source_channel</t>
  </si>
  <si>
    <t>kategorial</t>
  </si>
  <si>
    <t>age</t>
  </si>
  <si>
    <t>Nein (Bias-Risiko)</t>
  </si>
  <si>
    <t>Auslöser</t>
  </si>
  <si>
    <t>Aktion</t>
  </si>
  <si>
    <t>Zuständig</t>
  </si>
  <si>
    <t>Alle</t>
  </si>
  <si>
    <t>AUC fällt um &gt;0,1</t>
  </si>
  <si>
    <t>Automatische Benachrichtigung an Data Scientist</t>
  </si>
  <si>
    <t>Data Scientist</t>
  </si>
  <si>
    <t>AUC fällt um &gt;0,15 nach Benachrichtigung</t>
  </si>
  <si>
    <t>Modell deaktivieren, fallback auf Regel</t>
  </si>
  <si>
    <t>Head of Marketing</t>
  </si>
  <si>
    <t>Kein Retraining nach 4 Monaten</t>
  </si>
  <si>
    <t>Manueller Check durch Marketing Ops</t>
  </si>
  <si>
    <t>Marketing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</si>
</sst>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Bebas Neue"/>
      <family val="2"/>
    </font>
    <font>
      <sz val="11"/>
      <color rgb="FFF9FAFB"/>
      <name val="Bebas Neue"/>
      <family val="2"/>
    </font>
    <font>
      <sz val="11"/>
      <color theme="0"/>
      <name val="Bebas Neue"/>
      <family val="2"/>
    </font>
    <font>
      <sz val="12"/>
      <color theme="1"/>
      <name val="Bebas Neue"/>
      <family val="2"/>
    </font>
    <font>
      <sz val="9"/>
      <name val="Raleway"/>
    </font>
    <font>
      <sz val="9"/>
      <color theme="1"/>
      <name val="Raleway"/>
    </font>
    <font>
      <b/>
      <sz val="11"/>
      <color theme="0"/>
      <name val="Bebas Neue"/>
      <family val="2"/>
    </font>
    <font>
      <sz val="9"/>
      <name val="Segoe UI"/>
      <family val="2"/>
    </font>
    <font>
      <sz val="9"/>
      <name val="Raleway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ont="1" applyFill="1"/>
    <xf numFmtId="169" fontId="0" fillId="0" borderId="0" xfId="0" applyNumberFormat="1" applyFont="1" applyFill="1"/>
    <xf numFmtId="169" fontId="0" fillId="0" borderId="0" xfId="0" applyNumberFormat="1"/>
    <xf numFmtId="14" fontId="0" fillId="0" borderId="0" xfId="0" applyNumberFormat="1"/>
    <xf numFmtId="14" fontId="0" fillId="0" borderId="0" xfId="0" applyNumberFormat="1" applyFont="1" applyFill="1"/>
    <xf numFmtId="0" fontId="0" fillId="0" borderId="0" xfId="0" applyFill="1"/>
    <xf numFmtId="0" fontId="4" fillId="0" borderId="0" xfId="0" applyFont="1" applyFill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left" vertical="center" wrapText="1" indent="1"/>
    </xf>
    <xf numFmtId="0" fontId="5" fillId="3" borderId="12" xfId="0" applyFont="1" applyFill="1" applyBorder="1" applyAlignment="1">
      <alignment horizontal="left" vertical="center" wrapText="1" indent="1"/>
    </xf>
    <xf numFmtId="0" fontId="5" fillId="3" borderId="5" xfId="0" applyFont="1" applyFill="1" applyBorder="1" applyAlignment="1">
      <alignment horizontal="left" vertical="center" wrapText="1" indent="1"/>
    </xf>
    <xf numFmtId="0" fontId="5" fillId="3" borderId="8" xfId="0" applyFont="1" applyFill="1" applyBorder="1" applyAlignment="1">
      <alignment horizontal="left" vertical="center" wrapText="1" inden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169" fontId="6" fillId="3" borderId="12" xfId="0" applyNumberFormat="1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69" fontId="6" fillId="3" borderId="5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14" fontId="6" fillId="3" borderId="6" xfId="0" applyNumberFormat="1" applyFont="1" applyFill="1" applyBorder="1" applyAlignment="1">
      <alignment horizontal="center" vertical="center" wrapText="1"/>
    </xf>
    <xf numFmtId="169" fontId="6" fillId="3" borderId="6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 wrapText="1" indent="1"/>
    </xf>
    <xf numFmtId="0" fontId="8" fillId="3" borderId="6" xfId="0" applyFont="1" applyFill="1" applyBorder="1" applyAlignment="1">
      <alignment horizontal="left" vertical="center" wrapText="1" indent="1"/>
    </xf>
    <xf numFmtId="0" fontId="8" fillId="3" borderId="10" xfId="0" applyFont="1" applyFill="1" applyBorder="1" applyAlignment="1">
      <alignment horizontal="left" vertical="center" wrapText="1" inden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7" fillId="2" borderId="3" xfId="0" applyFont="1" applyFill="1" applyBorder="1" applyAlignment="1">
      <alignment horizontal="left" vertical="center" wrapText="1" inden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</cellXfs>
  <cellStyles count="1">
    <cellStyle name="Standard" xfId="0" builtinId="0"/>
  </cellStyles>
  <dxfs count="6"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1F29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0A3E-3EB9-4646-9F9A-49F1951B772B}">
  <dimension ref="A1:Q12"/>
  <sheetViews>
    <sheetView view="pageLayout" topLeftCell="A34" zoomScaleNormal="200" workbookViewId="0">
      <selection activeCell="L21" sqref="L21"/>
    </sheetView>
  </sheetViews>
  <sheetFormatPr baseColWidth="10" defaultRowHeight="14.5" x14ac:dyDescent="0.35"/>
  <cols>
    <col min="2" max="2" width="10.54296875" bestFit="1" customWidth="1"/>
    <col min="3" max="3" width="12.54296875" bestFit="1" customWidth="1"/>
    <col min="4" max="4" width="5.90625" bestFit="1" customWidth="1"/>
    <col min="5" max="5" width="10.26953125" bestFit="1" customWidth="1"/>
    <col min="6" max="6" width="10.26953125" style="6" bestFit="1" customWidth="1"/>
    <col min="7" max="7" width="10.36328125" style="6" bestFit="1" customWidth="1"/>
    <col min="8" max="8" width="7.90625" style="5" bestFit="1" customWidth="1"/>
    <col min="9" max="9" width="7.36328125" style="5" bestFit="1" customWidth="1"/>
    <col min="10" max="10" width="5.90625" bestFit="1" customWidth="1"/>
  </cols>
  <sheetData>
    <row r="1" spans="1:17" s="1" customFormat="1" ht="31" x14ac:dyDescent="0.45">
      <c r="A1" s="33" t="s">
        <v>0</v>
      </c>
      <c r="B1" s="33" t="s">
        <v>1</v>
      </c>
      <c r="C1" s="33" t="s">
        <v>2</v>
      </c>
      <c r="D1" s="33" t="s">
        <v>3</v>
      </c>
      <c r="E1" s="33" t="s">
        <v>21</v>
      </c>
      <c r="F1" s="33" t="s">
        <v>23</v>
      </c>
      <c r="G1" s="33" t="s">
        <v>22</v>
      </c>
      <c r="H1" s="33" t="s">
        <v>4</v>
      </c>
      <c r="I1" s="33" t="s">
        <v>5</v>
      </c>
      <c r="J1" s="33" t="s">
        <v>6</v>
      </c>
      <c r="K1" s="9"/>
      <c r="L1" s="9"/>
      <c r="M1" s="9"/>
      <c r="N1" s="9"/>
      <c r="O1" s="9"/>
      <c r="P1" s="2"/>
      <c r="Q1" s="2"/>
    </row>
    <row r="2" spans="1:17" ht="29" x14ac:dyDescent="0.35">
      <c r="A2" s="18" t="s">
        <v>7</v>
      </c>
      <c r="B2" s="19" t="s">
        <v>8</v>
      </c>
      <c r="C2" s="19" t="s">
        <v>9</v>
      </c>
      <c r="D2" s="19" t="s">
        <v>10</v>
      </c>
      <c r="E2" s="20">
        <v>45672</v>
      </c>
      <c r="F2" s="20">
        <v>45672</v>
      </c>
      <c r="G2" s="20">
        <f>EDATE(F2,3)</f>
        <v>45762</v>
      </c>
      <c r="H2" s="21">
        <v>0.78</v>
      </c>
      <c r="I2" s="21">
        <f>H2-0.03</f>
        <v>0.75</v>
      </c>
      <c r="J2" s="22" t="s">
        <v>11</v>
      </c>
      <c r="K2" s="3"/>
    </row>
    <row r="3" spans="1:17" ht="29" x14ac:dyDescent="0.35">
      <c r="A3" s="23" t="s">
        <v>12</v>
      </c>
      <c r="B3" s="24" t="s">
        <v>13</v>
      </c>
      <c r="C3" s="24" t="s">
        <v>14</v>
      </c>
      <c r="D3" s="24" t="s">
        <v>15</v>
      </c>
      <c r="E3" s="25">
        <v>45689</v>
      </c>
      <c r="F3" s="25">
        <v>45689</v>
      </c>
      <c r="G3" s="20">
        <f t="shared" ref="G3:G4" si="0">EDATE(F3,3)</f>
        <v>45778</v>
      </c>
      <c r="H3" s="26">
        <v>0.72</v>
      </c>
      <c r="I3" s="26">
        <v>0.74</v>
      </c>
      <c r="J3" s="27" t="s">
        <v>11</v>
      </c>
      <c r="K3" s="3"/>
    </row>
    <row r="4" spans="1:17" ht="29" x14ac:dyDescent="0.35">
      <c r="A4" s="23" t="s">
        <v>16</v>
      </c>
      <c r="B4" s="24" t="s">
        <v>17</v>
      </c>
      <c r="C4" s="24" t="s">
        <v>18</v>
      </c>
      <c r="D4" s="24" t="s">
        <v>19</v>
      </c>
      <c r="E4" s="25">
        <v>45726</v>
      </c>
      <c r="F4" s="25">
        <v>45726</v>
      </c>
      <c r="G4" s="20">
        <f t="shared" si="0"/>
        <v>45818</v>
      </c>
      <c r="H4" s="26">
        <v>0.85</v>
      </c>
      <c r="I4" s="26">
        <v>0.84</v>
      </c>
      <c r="J4" s="27" t="s">
        <v>11</v>
      </c>
      <c r="K4" s="3"/>
    </row>
    <row r="5" spans="1:17" ht="15" thickBot="1" x14ac:dyDescent="0.4">
      <c r="A5" s="28" t="s">
        <v>20</v>
      </c>
      <c r="B5" s="29" t="s">
        <v>20</v>
      </c>
      <c r="C5" s="29" t="s">
        <v>20</v>
      </c>
      <c r="D5" s="29" t="s">
        <v>20</v>
      </c>
      <c r="E5" s="29" t="s">
        <v>20</v>
      </c>
      <c r="F5" s="30" t="s">
        <v>20</v>
      </c>
      <c r="G5" s="30" t="s">
        <v>20</v>
      </c>
      <c r="H5" s="31" t="s">
        <v>20</v>
      </c>
      <c r="I5" s="31" t="s">
        <v>20</v>
      </c>
      <c r="J5" s="32" t="s">
        <v>20</v>
      </c>
      <c r="K5" s="3"/>
    </row>
    <row r="6" spans="1:17" x14ac:dyDescent="0.35">
      <c r="A6" s="3"/>
      <c r="B6" s="3"/>
      <c r="C6" s="3"/>
      <c r="D6" s="3"/>
      <c r="E6" s="3"/>
      <c r="F6" s="7"/>
      <c r="G6" s="7"/>
      <c r="H6" s="4"/>
      <c r="I6" s="4"/>
      <c r="J6" s="3"/>
      <c r="K6" s="3"/>
    </row>
    <row r="11" spans="1:17" x14ac:dyDescent="0.35">
      <c r="K11" s="6"/>
    </row>
    <row r="12" spans="1:17" x14ac:dyDescent="0.35">
      <c r="E12" s="8"/>
    </row>
  </sheetData>
  <conditionalFormatting sqref="J2:J4">
    <cfRule type="cellIs" dxfId="0" priority="9" stopIfTrue="1" operator="equal">
      <formula>"Aktiv"</formula>
    </cfRule>
    <cfRule type="cellIs" dxfId="1" priority="10" stopIfTrue="1" operator="equal">
      <formula>"Beobachtung"</formula>
    </cfRule>
    <cfRule type="cellIs" dxfId="2" priority="11" operator="equal">
      <formula>"inaktiv"</formula>
    </cfRule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I2:I4">
    <cfRule type="expression" dxfId="5" priority="6">
      <formula>H2-0.03</formula>
    </cfRule>
    <cfRule type="expression" dxfId="4" priority="7">
      <formula>AND(I2&lt;H2-0.03,I2&gt;=H2-0.08)</formula>
    </cfRule>
    <cfRule type="expression" dxfId="3" priority="8">
      <formula>I2&lt;H2-0.08</formula>
    </cfRule>
  </conditionalFormatting>
  <pageMargins left="0.7" right="0.7" top="0.78740157499999996" bottom="0.78740157499999996" header="0.3" footer="0.3"/>
  <pageSetup paperSize="9" scale="95" orientation="portrait" verticalDpi="0" r:id="rId1"/>
  <headerFooter>
    <oddHeader>&amp;L&amp;"Bebas Neue,Standard"&amp;14Aktive Modelle</oddHeader>
    <oddFooter>&amp;LDatei: &amp;F&amp;CSeite &amp;P von &amp;N&amp;RStand: &amp;D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B249E09-ECC4-4049-BE22-A978811363C8}">
            <x14:iconSet custom="1">
              <x14:cfvo type="percent">
                <xm:f>0</xm:f>
              </x14:cfvo>
              <x14:cfvo type="num">
                <xm:f>33</xm:f>
              </x14:cfvo>
              <x14:cfvo type="num">
                <xm:f>70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J2:J4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A8C8-5170-4B8D-8BF8-8EBCEBC81D12}">
  <dimension ref="A1:E6"/>
  <sheetViews>
    <sheetView view="pageLayout" topLeftCell="A31" zoomScaleNormal="169" workbookViewId="0">
      <selection activeCell="C23" sqref="C23"/>
    </sheetView>
  </sheetViews>
  <sheetFormatPr baseColWidth="10" defaultRowHeight="14.5" x14ac:dyDescent="0.35"/>
  <cols>
    <col min="5" max="5" width="12.6328125" customWidth="1"/>
  </cols>
  <sheetData>
    <row r="1" spans="1:5" ht="31.5" thickBot="1" x14ac:dyDescent="0.4">
      <c r="A1" s="46" t="s">
        <v>0</v>
      </c>
      <c r="B1" s="47" t="s">
        <v>32</v>
      </c>
      <c r="C1" s="48" t="s">
        <v>33</v>
      </c>
      <c r="D1" s="47" t="s">
        <v>34</v>
      </c>
      <c r="E1" s="49" t="s">
        <v>35</v>
      </c>
    </row>
    <row r="2" spans="1:5" ht="29" x14ac:dyDescent="0.35">
      <c r="A2" s="43" t="s">
        <v>7</v>
      </c>
      <c r="B2" s="44" t="s">
        <v>36</v>
      </c>
      <c r="C2" s="44" t="s">
        <v>37</v>
      </c>
      <c r="D2" s="44" t="s">
        <v>38</v>
      </c>
      <c r="E2" s="45" t="s">
        <v>39</v>
      </c>
    </row>
    <row r="3" spans="1:5" ht="29" x14ac:dyDescent="0.35">
      <c r="A3" s="39" t="s">
        <v>7</v>
      </c>
      <c r="B3" s="37" t="s">
        <v>40</v>
      </c>
      <c r="C3" s="37" t="s">
        <v>37</v>
      </c>
      <c r="D3" s="37" t="s">
        <v>38</v>
      </c>
      <c r="E3" s="40" t="s">
        <v>39</v>
      </c>
    </row>
    <row r="4" spans="1:5" ht="29" x14ac:dyDescent="0.35">
      <c r="A4" s="39" t="s">
        <v>7</v>
      </c>
      <c r="B4" s="37" t="s">
        <v>41</v>
      </c>
      <c r="C4" s="37" t="s">
        <v>37</v>
      </c>
      <c r="D4" s="37" t="s">
        <v>42</v>
      </c>
      <c r="E4" s="40" t="s">
        <v>39</v>
      </c>
    </row>
    <row r="5" spans="1:5" ht="29" x14ac:dyDescent="0.35">
      <c r="A5" s="39" t="s">
        <v>7</v>
      </c>
      <c r="B5" s="37" t="s">
        <v>43</v>
      </c>
      <c r="C5" s="37" t="s">
        <v>44</v>
      </c>
      <c r="D5" s="37" t="s">
        <v>15</v>
      </c>
      <c r="E5" s="40" t="s">
        <v>39</v>
      </c>
    </row>
    <row r="6" spans="1:5" ht="29.5" thickBot="1" x14ac:dyDescent="0.4">
      <c r="A6" s="41" t="s">
        <v>7</v>
      </c>
      <c r="B6" s="38" t="s">
        <v>45</v>
      </c>
      <c r="C6" s="38" t="s">
        <v>37</v>
      </c>
      <c r="D6" s="38" t="s">
        <v>15</v>
      </c>
      <c r="E6" s="42" t="s">
        <v>46</v>
      </c>
    </row>
  </sheetData>
  <pageMargins left="0.7" right="0.7" top="0.78740157499999996" bottom="0.78740157499999996" header="0.3" footer="0.3"/>
  <pageSetup paperSize="9" orientation="portrait" verticalDpi="0" r:id="rId1"/>
  <headerFooter>
    <oddHeader>&amp;L&amp;"Bebas Neue,Standard"&amp;14Modell-Features</oddHeader>
    <oddFooter>&amp;LDatei: &amp;F&amp;CSeite &amp;P von &amp;N&amp;RStand: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1929-976B-4605-A24D-10A05132FF2B}">
  <dimension ref="A1:D4"/>
  <sheetViews>
    <sheetView tabSelected="1" view="pageLayout" zoomScale="140" zoomScaleNormal="190" zoomScalePageLayoutView="140" workbookViewId="0">
      <selection activeCell="E35" sqref="E35"/>
    </sheetView>
  </sheetViews>
  <sheetFormatPr baseColWidth="10" defaultRowHeight="14.5" x14ac:dyDescent="0.35"/>
  <cols>
    <col min="2" max="2" width="13.90625" customWidth="1"/>
    <col min="3" max="3" width="26.81640625" customWidth="1"/>
  </cols>
  <sheetData>
    <row r="1" spans="1:4" ht="16" thickBot="1" x14ac:dyDescent="0.4">
      <c r="A1" s="50" t="s">
        <v>0</v>
      </c>
      <c r="B1" s="51" t="s">
        <v>47</v>
      </c>
      <c r="C1" s="52" t="s">
        <v>48</v>
      </c>
      <c r="D1" s="51" t="s">
        <v>49</v>
      </c>
    </row>
    <row r="2" spans="1:4" ht="43.5" x14ac:dyDescent="0.35">
      <c r="A2" s="43" t="s">
        <v>50</v>
      </c>
      <c r="B2" s="54" t="s">
        <v>51</v>
      </c>
      <c r="C2" s="54" t="s">
        <v>52</v>
      </c>
      <c r="D2" s="45" t="s">
        <v>53</v>
      </c>
    </row>
    <row r="3" spans="1:4" ht="58" x14ac:dyDescent="0.35">
      <c r="A3" s="39" t="s">
        <v>50</v>
      </c>
      <c r="B3" s="55" t="s">
        <v>54</v>
      </c>
      <c r="C3" s="55" t="s">
        <v>55</v>
      </c>
      <c r="D3" s="40" t="s">
        <v>56</v>
      </c>
    </row>
    <row r="4" spans="1:4" ht="58.5" thickBot="1" x14ac:dyDescent="0.4">
      <c r="A4" s="41" t="s">
        <v>7</v>
      </c>
      <c r="B4" s="56" t="s">
        <v>57</v>
      </c>
      <c r="C4" s="56" t="s">
        <v>58</v>
      </c>
      <c r="D4" s="53" t="s">
        <v>59</v>
      </c>
    </row>
  </sheetData>
  <pageMargins left="0.7" right="0.7" top="0.78740157499999996" bottom="0.78740157499999996" header="0.3" footer="0.3"/>
  <pageSetup paperSize="9" orientation="portrait" verticalDpi="0" r:id="rId1"/>
  <headerFooter>
    <oddHeader>&amp;L&amp;"Bebas Neue,Standard"&amp;14Eskalationsregeln</oddHeader>
    <oddFooter>&amp;L&amp;"Raleway,Standard"&amp;F&amp;C&amp;"Raleway,Standard"Seite &amp;P von &amp;N&amp;R&amp;"Raleway,Standard"&amp;D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D868-10FB-431D-901F-2EEB621E2F6B}">
  <dimension ref="A1:G3"/>
  <sheetViews>
    <sheetView zoomScale="220" zoomScaleNormal="220" workbookViewId="0">
      <selection activeCell="G40" sqref="G40"/>
    </sheetView>
  </sheetViews>
  <sheetFormatPr baseColWidth="10" defaultRowHeight="14.5" x14ac:dyDescent="0.35"/>
  <cols>
    <col min="1" max="1" width="11.54296875" bestFit="1" customWidth="1"/>
    <col min="2" max="2" width="8.81640625" bestFit="1" customWidth="1"/>
    <col min="3" max="3" width="10.453125" customWidth="1"/>
    <col min="4" max="4" width="8.26953125" bestFit="1" customWidth="1"/>
    <col min="5" max="5" width="8.6328125" customWidth="1"/>
    <col min="6" max="6" width="10.81640625" bestFit="1" customWidth="1"/>
    <col min="7" max="7" width="13" bestFit="1" customWidth="1"/>
  </cols>
  <sheetData>
    <row r="1" spans="1:7" ht="31.5" thickBot="1" x14ac:dyDescent="0.4">
      <c r="A1" s="10" t="s">
        <v>24</v>
      </c>
      <c r="B1" s="11" t="s">
        <v>0</v>
      </c>
      <c r="C1" s="12" t="s">
        <v>25</v>
      </c>
      <c r="D1" s="11" t="s">
        <v>26</v>
      </c>
      <c r="E1" s="12" t="s">
        <v>27</v>
      </c>
      <c r="F1" s="11" t="s">
        <v>28</v>
      </c>
      <c r="G1" s="13" t="s">
        <v>29</v>
      </c>
    </row>
    <row r="2" spans="1:7" ht="29" x14ac:dyDescent="0.35">
      <c r="A2" s="14">
        <v>45762</v>
      </c>
      <c r="B2" s="15" t="s">
        <v>7</v>
      </c>
      <c r="C2" s="16" t="s">
        <v>30</v>
      </c>
      <c r="D2" s="15">
        <v>0.82</v>
      </c>
      <c r="E2" s="16">
        <v>0.78</v>
      </c>
      <c r="F2" s="15">
        <f>D2-E2</f>
        <v>3.9999999999999925E-2</v>
      </c>
      <c r="G2" s="17" t="s">
        <v>31</v>
      </c>
    </row>
    <row r="3" spans="1:7" ht="15" thickBot="1" x14ac:dyDescent="0.4">
      <c r="A3" s="34" t="s">
        <v>20</v>
      </c>
      <c r="B3" s="35" t="s">
        <v>20</v>
      </c>
      <c r="C3" s="35" t="s">
        <v>20</v>
      </c>
      <c r="D3" s="35" t="s">
        <v>20</v>
      </c>
      <c r="E3" s="35" t="s">
        <v>20</v>
      </c>
      <c r="F3" s="35" t="s">
        <v>20</v>
      </c>
      <c r="G3" s="36" t="s">
        <v>20</v>
      </c>
    </row>
  </sheetData>
  <pageMargins left="0.7" right="0.7" top="0.78740157499999996" bottom="0.78740157499999996" header="0.3" footer="0.3"/>
  <pageSetup paperSize="9" orientation="portrait" verticalDpi="0" r:id="rId1"/>
  <headerFooter>
    <oddHeader>&amp;L&amp;"Bebas Neue,Standard"&amp;14Retraining Log</oddHeader>
    <oddFooter xml:space="preserve">&amp;L&amp;"Raleway,Standard"Datei: &amp;F&amp;C&amp;"Raleway,Standard"Seite &amp;P von &amp;N&amp;R&amp;"Raleway,Standard"Stand &amp;D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Tabelle3</vt:lpstr>
      <vt:lpstr>Tabelle4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 Schneider</dc:creator>
  <cp:lastModifiedBy>Tino Schneider</cp:lastModifiedBy>
  <dcterms:created xsi:type="dcterms:W3CDTF">2026-05-16T11:56:26Z</dcterms:created>
  <dcterms:modified xsi:type="dcterms:W3CDTF">2026-05-16T13:09:27Z</dcterms:modified>
</cp:coreProperties>
</file>